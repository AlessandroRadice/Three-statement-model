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Income Statement" sheetId="2" state="visible" r:id="rId4"/>
    <sheet name="Balance Sheet" sheetId="3" state="visible" r:id="rId5"/>
    <sheet name="Cash Flow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<sst xmlns="http://schemas.openxmlformats.org/spreadsheetml/2006/main" count="149" uniqueCount="87">
  <si>
    <t xml:space="preserve">Inputs and scenario drivers</t>
  </si>
  <si>
    <t xml:space="preserve">Demo Co. (synthetic) · $mm · Source: SYNTHETIC DEMO DATA</t>
  </si>
  <si>
    <t xml:space="preserve">Active scenario (1 = Base, 2 = Upside, 3 = Downside)</t>
  </si>
  <si>
    <t xml:space="preserve">Operating drivers</t>
  </si>
  <si>
    <t xml:space="preserve">FY23A</t>
  </si>
  <si>
    <t xml:space="preserve">FY24A</t>
  </si>
  <si>
    <t xml:space="preserve">FY25A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</si>
  <si>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</si>
  <si>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</si>
  <si>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</si>
  <si>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</si>
  <si>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</si>
  <si>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Revenue growth</t>
  </si>
  <si>
    <t xml:space="preserve">   Base</t>
  </si>
  <si>
    <t xml:space="preserve">   Upside</t>
  </si>
  <si>
    <t xml:space="preserve">   Downside</t>
  </si>
  <si>
    <t xml:space="preserve">   ► Live case</t>
  </si>
  <si>
    <t xml:space="preserve">COGS % of revenue</t>
  </si>
  <si>
    <t xml:space="preserve">SG&amp;A % of revenue</t>
  </si>
  <si>
    <t xml:space="preserve">Days sales outstanding</t>
  </si>
  <si>
    <t xml:space="preserve">Days inventory (on COGS)</t>
  </si>
  <si>
    <t xml:space="preserve">Days payables (on COGS)</t>
  </si>
  <si>
    <t xml:space="preserve">Financing and policy (all scenarios)</t>
  </si>
  <si>
    <t xml:space="preserve">Tax rate</t>
  </si>
  <si>
    <t xml:space="preserve">Interest rate, term debt</t>
  </si>
  <si>
    <t xml:space="preserve">Interest rate, revolver</t>
  </si>
  <si>
    <t xml:space="preserve">Interest income on cash</t>
  </si>
  <si>
    <t xml:space="preserve">Minimum cash balance</t>
  </si>
  <si>
    <t xml:space="preserve">Term debt amortisation per year</t>
  </si>
  <si>
    <t xml:space="preserve">Dividends per year</t>
  </si>
  <si>
    <t xml:space="preserve">D&amp;A % of revenue</t>
  </si>
  <si>
    <t xml:space="preserve">Capex % of revenue</t>
  </si>
  <si>
    <t xml:space="preserve">Income statement</t>
  </si>
  <si>
    <t xml:space="preserve">Revenue</t>
  </si>
  <si>
    <t xml:space="preserve">COGS</t>
  </si>
  <si>
    <t xml:space="preserve">Gross profit</t>
  </si>
  <si>
    <t xml:space="preserve">SG&amp;A</t>
  </si>
  <si>
    <t xml:space="preserve">EBITDA</t>
  </si>
  <si>
    <t xml:space="preserve">D&amp;A</t>
  </si>
  <si>
    <t xml:space="preserve">EBIT</t>
  </si>
  <si>
    <t xml:space="preserve">Interest expense</t>
  </si>
  <si>
    <t xml:space="preserve">Interest income</t>
  </si>
  <si>
    <t xml:space="preserve">EBT</t>
  </si>
  <si>
    <t xml:space="preserve">Tax</t>
  </si>
  <si>
    <t xml:space="preserve">Net income</t>
  </si>
  <si>
    <t xml:space="preserve">EBITDA margin</t>
  </si>
  <si>
    <t xml:space="preserve">Balance sheet</t>
  </si>
  <si>
    <t xml:space="preserve">Cash</t>
  </si>
  <si>
    <t xml:space="preserve">Accounts receivable</t>
  </si>
  <si>
    <t xml:space="preserve">Inventory</t>
  </si>
  <si>
    <t xml:space="preserve">Other current assets</t>
  </si>
  <si>
    <t xml:space="preserve">PP&amp;E, net</t>
  </si>
  <si>
    <t xml:space="preserve">Goodwill &amp; intangibles</t>
  </si>
  <si>
    <t xml:space="preserve">Total assets</t>
  </si>
  <si>
    <t xml:space="preserve">Accounts payable</t>
  </si>
  <si>
    <t xml:space="preserve">Other current liabilities</t>
  </si>
  <si>
    <t xml:space="preserve">Revolver</t>
  </si>
  <si>
    <t xml:space="preserve">Term debt</t>
  </si>
  <si>
    <t xml:space="preserve">Other long-term liabilities</t>
  </si>
  <si>
    <t xml:space="preserve">Total liabilities</t>
  </si>
  <si>
    <t xml:space="preserve">Equity</t>
  </si>
  <si>
    <t xml:space="preserve">Total liabilities &amp; equity</t>
  </si>
  <si>
    <t xml:space="preserve">Check: assets − liabilities − equity</t>
  </si>
  <si>
    <t xml:space="preserve">Cash flow statement</t>
  </si>
  <si>
    <t xml:space="preserve">(Increase) in receivables</t>
  </si>
  <si>
    <t xml:space="preserve">(Increase) in inventory</t>
  </si>
  <si>
    <t xml:space="preserve">Increase in payables</t>
  </si>
  <si>
    <t xml:space="preserve">Cash from operations</t>
  </si>
  <si>
    <t xml:space="preserve">Capex</t>
  </si>
  <si>
    <t xml:space="preserve">Cash from investing</t>
  </si>
  <si>
    <t xml:space="preserve">Term debt repayment</t>
  </si>
  <si>
    <t xml:space="preserve">Dividends</t>
  </si>
  <si>
    <t xml:space="preserve">Cash before revolver</t>
  </si>
  <si>
    <t xml:space="preserve">Revolver draw / (repayment)</t>
  </si>
  <si>
    <t xml:space="preserve">Cash from financing</t>
  </si>
  <si>
    <t xml:space="preserve">Net change in cash</t>
  </si>
  <si>
    <t xml:space="preserve">Beginning cash</t>
  </si>
  <si>
    <t xml:space="preserve">Ending cash</t>
  </si>
  <si>
    <t xml:space="preserve">Check: ending cash vs balance sheet</t>
  </si>
  <si>
    <t xml:space="preserve">Summary: credit and cash flow (active scenario)</t>
  </si>
  <si>
    <t xml:space="preserve">Free cash flow (CFO − capex)</t>
  </si>
  <si>
    <t xml:space="preserve">Net debt</t>
  </si>
  <si>
    <t xml:space="preserve">Net debt / EBITDA</t>
  </si>
  <si>
    <t xml:space="preserve">EBITDA / interest</t>
  </si>
  <si>
    <t xml:space="preserve">Revolver balance</t>
  </si>
  <si>
    <t xml:space="preserve">Balance sheet check</t>
  </si>
  <si>
    <t xml:space="preserve">Cash check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</si>
</sst>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"/>
    <numFmt numFmtId="167" formatCode="#,##0.0;\(#,##0.0\);\–"/>
    <numFmt numFmtId="168" formatCode="0.000;\-0.000;&quot;OK&quot;"/>
    <numFmt numFmtId="169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2"/>
      <charset val="1"/>
    </font>
    <font>
      <i val="true"/>
      <sz val="10"/>
      <color rgb="FF66655E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8000"/>
      <name val="Arial"/>
      <family val="2"/>
      <charset val="1"/>
    </font>
    <font>
      <b val="true"/>
      <sz val="10"/>
      <color rgb="FF008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CEBE5"/>
      </patternFill>
    </fill>
    <fill>
      <patternFill patternType="solid">
        <fgColor rgb="FF1A1A18"/>
        <bgColor rgb="FF003300"/>
      </patternFill>
    </fill>
    <fill>
      <patternFill patternType="solid">
        <fgColor rgb="FF5C5B55"/>
        <bgColor rgb="FF66655E"/>
      </patternFill>
    </fill>
    <fill>
      <patternFill patternType="solid">
        <fgColor rgb="FFECEBE5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C5B55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CEB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55E"/>
      <rgbColor rgb="FF969696"/>
      <rgbColor rgb="FF003366"/>
      <rgbColor rgb="FF339966"/>
      <rgbColor rgb="FF003300"/>
      <rgbColor rgb="FF1A1A1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50.71"/>
    <col collapsed="false" customWidth="true" hidden="false" outlineLevel="0" max="11" min="3" style="0" width="11.71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1</v>
      </c>
      <c r="D5" s="3" t="str">
        <f aca="false">CHOOSE($C$5,"Base","Upside","Downside")</f>
        <v>Base</v>
      </c>
    </row>
    <row r="8" customFormat="false" ht="15" hidden="false" customHeight="false" outlineLevel="0" collapsed="false">
      <c r="B8" s="3" t="s">
        <v>3</v>
      </c>
      <c r="C8" s="5" t="s">
        <v>4</v>
      </c>
      <c r="D8" s="5" t="s">
        <v>5</v>
      </c>
      <c r="E8" s="5" t="s">
        <v>6</v>
      </c>
      <c r="F8" s="6" t="s">
        <v>7</v>
      </c>
      <c r="G8" s="6" t="s">
        <v>8</v>
      </c>
      <c r="H8" s="6" t="s">
        <v>9</v>
      </c>
      <c r="I8" s="6" t="s">
        <v>10</v>
      </c>
      <c r="J8" s="6" t="s">
        <v>11</v>
      </c>
    </row>
    <row r="9" customFormat="false" ht="15" hidden="false" customHeight="false" outlineLevel="0" collapsed="false">
      <c r="B9" s="3" t="s">
        <v>12</v>
      </c>
    </row>
    <row r="10" customFormat="false" ht="15" hidden="false" customHeight="false" outlineLevel="0" collapsed="false">
      <c r="B10" s="0" t="s">
        <v>13</v>
      </c>
      <c r="F10" s="7" t="n">
        <v>0.05</v>
      </c>
      <c r="G10" s="7" t="n">
        <v>0.05</v>
      </c>
      <c r="H10" s="7" t="n">
        <v>0.045</v>
      </c>
      <c r="I10" s="7" t="n">
        <v>0.04</v>
      </c>
      <c r="J10" s="7" t="n">
        <v>0.035</v>
      </c>
    </row>
    <row r="11" customFormat="false" ht="15" hidden="false" customHeight="false" outlineLevel="0" collapsed="false">
      <c r="B11" s="0" t="s">
        <v>14</v>
      </c>
      <c r="F11" s="7" t="n">
        <v>0.08</v>
      </c>
      <c r="G11" s="7" t="n">
        <v>0.075</v>
      </c>
      <c r="H11" s="7" t="n">
        <v>0.065</v>
      </c>
      <c r="I11" s="7" t="n">
        <v>0.055</v>
      </c>
      <c r="J11" s="7" t="n">
        <v>0.045</v>
      </c>
    </row>
    <row r="12" customFormat="false" ht="15" hidden="false" customHeight="false" outlineLevel="0" collapsed="false">
      <c r="B12" s="0" t="s">
        <v>15</v>
      </c>
      <c r="F12" s="7" t="n">
        <v>-0.04</v>
      </c>
      <c r="G12" s="7" t="n">
        <v>0</v>
      </c>
      <c r="H12" s="7" t="n">
        <v>0.02</v>
      </c>
      <c r="I12" s="7" t="n">
        <v>0.025</v>
      </c>
      <c r="J12" s="7" t="n">
        <v>0.03</v>
      </c>
    </row>
    <row r="13" customFormat="false" ht="15" hidden="false" customHeight="false" outlineLevel="0" collapsed="false">
      <c r="B13" s="3" t="s">
        <v>16</v>
      </c>
      <c r="F13" s="8" t="n">
        <f aca="false">CHOOSE(Inputs!$C$5,F10,F11,F12)</f>
        <v>0.05</v>
      </c>
      <c r="G13" s="8" t="n">
        <f aca="false">CHOOSE(Inputs!$C$5,G10,G11,G12)</f>
        <v>0.05</v>
      </c>
      <c r="H13" s="8" t="n">
        <f aca="false">CHOOSE(Inputs!$C$5,H10,H11,H12)</f>
        <v>0.045</v>
      </c>
      <c r="I13" s="8" t="n">
        <f aca="false">CHOOSE(Inputs!$C$5,I10,I11,I12)</f>
        <v>0.04</v>
      </c>
      <c r="J13" s="8" t="n">
        <f aca="false">CHOOSE(Inputs!$C$5,J10,J11,J12)</f>
        <v>0.035</v>
      </c>
    </row>
    <row r="15" customFormat="false" ht="15" hidden="false" customHeight="false" outlineLevel="0" collapsed="false">
      <c r="B15" s="3" t="s">
        <v>17</v>
      </c>
    </row>
    <row r="16" customFormat="false" ht="15" hidden="false" customHeight="false" outlineLevel="0" collapsed="false">
      <c r="B16" s="0" t="s">
        <v>13</v>
      </c>
      <c r="F16" s="7" t="n">
        <v>0.575</v>
      </c>
      <c r="G16" s="7" t="n">
        <v>0.575</v>
      </c>
      <c r="H16" s="7" t="n">
        <v>0.575</v>
      </c>
      <c r="I16" s="7" t="n">
        <v>0.575</v>
      </c>
      <c r="J16" s="7" t="n">
        <v>0.575</v>
      </c>
    </row>
    <row r="17" customFormat="false" ht="15" hidden="false" customHeight="false" outlineLevel="0" collapsed="false">
      <c r="B17" s="0" t="s">
        <v>14</v>
      </c>
      <c r="F17" s="7" t="n">
        <v>0.57</v>
      </c>
      <c r="G17" s="7" t="n">
        <v>0.57</v>
      </c>
      <c r="H17" s="7" t="n">
        <v>0.57</v>
      </c>
      <c r="I17" s="7" t="n">
        <v>0.57</v>
      </c>
      <c r="J17" s="7" t="n">
        <v>0.57</v>
      </c>
    </row>
    <row r="18" customFormat="false" ht="15" hidden="false" customHeight="false" outlineLevel="0" collapsed="false">
      <c r="B18" s="0" t="s">
        <v>15</v>
      </c>
      <c r="F18" s="7" t="n">
        <v>0.595</v>
      </c>
      <c r="G18" s="7" t="n">
        <v>0.595</v>
      </c>
      <c r="H18" s="7" t="n">
        <v>0.595</v>
      </c>
      <c r="I18" s="7" t="n">
        <v>0.595</v>
      </c>
      <c r="J18" s="7" t="n">
        <v>0.595</v>
      </c>
    </row>
    <row r="19" customFormat="false" ht="15" hidden="false" customHeight="false" outlineLevel="0" collapsed="false">
      <c r="B19" s="3" t="s">
        <v>16</v>
      </c>
      <c r="F19" s="8" t="n">
        <f aca="false">CHOOSE(Inputs!$C$5,F16,F17,F18)</f>
        <v>0.575</v>
      </c>
      <c r="G19" s="8" t="n">
        <f aca="false">CHOOSE(Inputs!$C$5,G16,G17,G18)</f>
        <v>0.575</v>
      </c>
      <c r="H19" s="8" t="n">
        <f aca="false">CHOOSE(Inputs!$C$5,H16,H17,H18)</f>
        <v>0.575</v>
      </c>
      <c r="I19" s="8" t="n">
        <f aca="false">CHOOSE(Inputs!$C$5,I16,I17,I18)</f>
        <v>0.575</v>
      </c>
      <c r="J19" s="8" t="n">
        <f aca="false">CHOOSE(Inputs!$C$5,J16,J17,J18)</f>
        <v>0.575</v>
      </c>
    </row>
    <row r="21" customFormat="false" ht="15" hidden="false" customHeight="false" outlineLevel="0" collapsed="false">
      <c r="B21" s="3" t="s">
        <v>18</v>
      </c>
    </row>
    <row r="22" customFormat="false" ht="15" hidden="false" customHeight="false" outlineLevel="0" collapsed="false">
      <c r="B22" s="0" t="s">
        <v>13</v>
      </c>
      <c r="F22" s="7" t="n">
        <v>0.235</v>
      </c>
      <c r="G22" s="7" t="n">
        <v>0.235</v>
      </c>
      <c r="H22" s="7" t="n">
        <v>0.235</v>
      </c>
      <c r="I22" s="7" t="n">
        <v>0.235</v>
      </c>
      <c r="J22" s="7" t="n">
        <v>0.235</v>
      </c>
    </row>
    <row r="23" customFormat="false" ht="15" hidden="false" customHeight="false" outlineLevel="0" collapsed="false">
      <c r="B23" s="0" t="s">
        <v>14</v>
      </c>
      <c r="F23" s="7" t="n">
        <v>0.23</v>
      </c>
      <c r="G23" s="7" t="n">
        <v>0.23</v>
      </c>
      <c r="H23" s="7" t="n">
        <v>0.23</v>
      </c>
      <c r="I23" s="7" t="n">
        <v>0.23</v>
      </c>
      <c r="J23" s="7" t="n">
        <v>0.23</v>
      </c>
    </row>
    <row r="24" customFormat="false" ht="15" hidden="false" customHeight="false" outlineLevel="0" collapsed="false">
      <c r="B24" s="0" t="s">
        <v>15</v>
      </c>
      <c r="F24" s="7" t="n">
        <v>0.25</v>
      </c>
      <c r="G24" s="7" t="n">
        <v>0.25</v>
      </c>
      <c r="H24" s="7" t="n">
        <v>0.25</v>
      </c>
      <c r="I24" s="7" t="n">
        <v>0.25</v>
      </c>
      <c r="J24" s="7" t="n">
        <v>0.25</v>
      </c>
    </row>
    <row r="25" customFormat="false" ht="15" hidden="false" customHeight="false" outlineLevel="0" collapsed="false">
      <c r="B25" s="3" t="s">
        <v>16</v>
      </c>
      <c r="F25" s="8" t="n">
        <f aca="false">CHOOSE(Inputs!$C$5,F22,F23,F24)</f>
        <v>0.235</v>
      </c>
      <c r="G25" s="8" t="n">
        <f aca="false">CHOOSE(Inputs!$C$5,G22,G23,G24)</f>
        <v>0.235</v>
      </c>
      <c r="H25" s="8" t="n">
        <f aca="false">CHOOSE(Inputs!$C$5,H22,H23,H24)</f>
        <v>0.235</v>
      </c>
      <c r="I25" s="8" t="n">
        <f aca="false">CHOOSE(Inputs!$C$5,I22,I23,I24)</f>
        <v>0.235</v>
      </c>
      <c r="J25" s="8" t="n">
        <f aca="false">CHOOSE(Inputs!$C$5,J22,J23,J24)</f>
        <v>0.235</v>
      </c>
    </row>
    <row r="27" customFormat="false" ht="15" hidden="false" customHeight="false" outlineLevel="0" collapsed="false">
      <c r="B27" s="3" t="s">
        <v>19</v>
      </c>
    </row>
    <row r="28" customFormat="false" ht="15" hidden="false" customHeight="false" outlineLevel="0" collapsed="false">
      <c r="B28" s="0" t="s">
        <v>13</v>
      </c>
      <c r="F28" s="9" t="n">
        <v>48</v>
      </c>
      <c r="G28" s="9" t="n">
        <v>48</v>
      </c>
      <c r="H28" s="9" t="n">
        <v>48</v>
      </c>
      <c r="I28" s="9" t="n">
        <v>48</v>
      </c>
      <c r="J28" s="9" t="n">
        <v>48</v>
      </c>
    </row>
    <row r="29" customFormat="false" ht="15" hidden="false" customHeight="false" outlineLevel="0" collapsed="false">
      <c r="B29" s="0" t="s">
        <v>14</v>
      </c>
      <c r="F29" s="9" t="n">
        <v>46</v>
      </c>
      <c r="G29" s="9" t="n">
        <v>46</v>
      </c>
      <c r="H29" s="9" t="n">
        <v>46</v>
      </c>
      <c r="I29" s="9" t="n">
        <v>46</v>
      </c>
      <c r="J29" s="9" t="n">
        <v>46</v>
      </c>
    </row>
    <row r="30" customFormat="false" ht="15" hidden="false" customHeight="false" outlineLevel="0" collapsed="false">
      <c r="B30" s="0" t="s">
        <v>15</v>
      </c>
      <c r="F30" s="9" t="n">
        <v>53</v>
      </c>
      <c r="G30" s="9" t="n">
        <v>53</v>
      </c>
      <c r="H30" s="9" t="n">
        <v>53</v>
      </c>
      <c r="I30" s="9" t="n">
        <v>53</v>
      </c>
      <c r="J30" s="9" t="n">
        <v>53</v>
      </c>
    </row>
    <row r="31" customFormat="false" ht="15" hidden="false" customHeight="false" outlineLevel="0" collapsed="false">
      <c r="B31" s="3" t="s">
        <v>16</v>
      </c>
      <c r="F31" s="10" t="n">
        <f aca="false">CHOOSE(Inputs!$C$5,F28,F29,F30)</f>
        <v>48</v>
      </c>
      <c r="G31" s="10" t="n">
        <f aca="false">CHOOSE(Inputs!$C$5,G28,G29,G30)</f>
        <v>48</v>
      </c>
      <c r="H31" s="10" t="n">
        <f aca="false">CHOOSE(Inputs!$C$5,H28,H29,H30)</f>
        <v>48</v>
      </c>
      <c r="I31" s="10" t="n">
        <f aca="false">CHOOSE(Inputs!$C$5,I28,I29,I30)</f>
        <v>48</v>
      </c>
      <c r="J31" s="10" t="n">
        <f aca="false">CHOOSE(Inputs!$C$5,J28,J29,J30)</f>
        <v>48</v>
      </c>
    </row>
    <row r="33" customFormat="false" ht="15" hidden="false" customHeight="false" outlineLevel="0" collapsed="false">
      <c r="B33" s="3" t="s">
        <v>20</v>
      </c>
    </row>
    <row r="34" customFormat="false" ht="15" hidden="false" customHeight="false" outlineLevel="0" collapsed="false">
      <c r="B34" s="0" t="s">
        <v>13</v>
      </c>
      <c r="F34" s="9" t="n">
        <v>74</v>
      </c>
      <c r="G34" s="9" t="n">
        <v>74</v>
      </c>
      <c r="H34" s="9" t="n">
        <v>74</v>
      </c>
      <c r="I34" s="9" t="n">
        <v>74</v>
      </c>
      <c r="J34" s="9" t="n">
        <v>74</v>
      </c>
    </row>
    <row r="35" customFormat="false" ht="15" hidden="false" customHeight="false" outlineLevel="0" collapsed="false">
      <c r="B35" s="0" t="s">
        <v>14</v>
      </c>
      <c r="F35" s="9" t="n">
        <v>70</v>
      </c>
      <c r="G35" s="9" t="n">
        <v>70</v>
      </c>
      <c r="H35" s="9" t="n">
        <v>70</v>
      </c>
      <c r="I35" s="9" t="n">
        <v>70</v>
      </c>
      <c r="J35" s="9" t="n">
        <v>70</v>
      </c>
    </row>
    <row r="36" customFormat="false" ht="15" hidden="false" customHeight="false" outlineLevel="0" collapsed="false">
      <c r="B36" s="0" t="s">
        <v>15</v>
      </c>
      <c r="F36" s="9" t="n">
        <v>80</v>
      </c>
      <c r="G36" s="9" t="n">
        <v>80</v>
      </c>
      <c r="H36" s="9" t="n">
        <v>80</v>
      </c>
      <c r="I36" s="9" t="n">
        <v>80</v>
      </c>
      <c r="J36" s="9" t="n">
        <v>80</v>
      </c>
    </row>
    <row r="37" customFormat="false" ht="15" hidden="false" customHeight="false" outlineLevel="0" collapsed="false">
      <c r="B37" s="3" t="s">
        <v>16</v>
      </c>
      <c r="F37" s="10" t="n">
        <f aca="false">CHOOSE(Inputs!$C$5,F34,F35,F36)</f>
        <v>74</v>
      </c>
      <c r="G37" s="10" t="n">
        <f aca="false">CHOOSE(Inputs!$C$5,G34,G35,G36)</f>
        <v>74</v>
      </c>
      <c r="H37" s="10" t="n">
        <f aca="false">CHOOSE(Inputs!$C$5,H34,H35,H36)</f>
        <v>74</v>
      </c>
      <c r="I37" s="10" t="n">
        <f aca="false">CHOOSE(Inputs!$C$5,I34,I35,I36)</f>
        <v>74</v>
      </c>
      <c r="J37" s="10" t="n">
        <f aca="false">CHOOSE(Inputs!$C$5,J34,J35,J36)</f>
        <v>74</v>
      </c>
    </row>
    <row r="39" customFormat="false" ht="15" hidden="false" customHeight="false" outlineLevel="0" collapsed="false">
      <c r="B39" s="3" t="s">
        <v>21</v>
      </c>
    </row>
    <row r="40" customFormat="false" ht="15" hidden="false" customHeight="false" outlineLevel="0" collapsed="false">
      <c r="B40" s="0" t="s">
        <v>13</v>
      </c>
      <c r="F40" s="9" t="n">
        <v>51</v>
      </c>
      <c r="G40" s="9" t="n">
        <v>51</v>
      </c>
      <c r="H40" s="9" t="n">
        <v>51</v>
      </c>
      <c r="I40" s="9" t="n">
        <v>51</v>
      </c>
      <c r="J40" s="9" t="n">
        <v>51</v>
      </c>
    </row>
    <row r="41" customFormat="false" ht="15" hidden="false" customHeight="false" outlineLevel="0" collapsed="false">
      <c r="B41" s="0" t="s">
        <v>14</v>
      </c>
      <c r="F41" s="9" t="n">
        <v>53</v>
      </c>
      <c r="G41" s="9" t="n">
        <v>53</v>
      </c>
      <c r="H41" s="9" t="n">
        <v>53</v>
      </c>
      <c r="I41" s="9" t="n">
        <v>53</v>
      </c>
      <c r="J41" s="9" t="n">
        <v>53</v>
      </c>
    </row>
    <row r="42" customFormat="false" ht="15" hidden="false" customHeight="false" outlineLevel="0" collapsed="false">
      <c r="B42" s="0" t="s">
        <v>15</v>
      </c>
      <c r="F42" s="9" t="n">
        <v>47</v>
      </c>
      <c r="G42" s="9" t="n">
        <v>47</v>
      </c>
      <c r="H42" s="9" t="n">
        <v>47</v>
      </c>
      <c r="I42" s="9" t="n">
        <v>47</v>
      </c>
      <c r="J42" s="9" t="n">
        <v>47</v>
      </c>
    </row>
    <row r="43" customFormat="false" ht="15" hidden="false" customHeight="false" outlineLevel="0" collapsed="false">
      <c r="B43" s="3" t="s">
        <v>16</v>
      </c>
      <c r="F43" s="10" t="n">
        <f aca="false">CHOOSE(Inputs!$C$5,F40,F41,F42)</f>
        <v>51</v>
      </c>
      <c r="G43" s="10" t="n">
        <f aca="false">CHOOSE(Inputs!$C$5,G40,G41,G42)</f>
        <v>51</v>
      </c>
      <c r="H43" s="10" t="n">
        <f aca="false">CHOOSE(Inputs!$C$5,H40,H41,H42)</f>
        <v>51</v>
      </c>
      <c r="I43" s="10" t="n">
        <f aca="false">CHOOSE(Inputs!$C$5,I40,I41,I42)</f>
        <v>51</v>
      </c>
      <c r="J43" s="10" t="n">
        <f aca="false">CHOOSE(Inputs!$C$5,J40,J41,J42)</f>
        <v>51</v>
      </c>
    </row>
    <row r="45" customFormat="false" ht="15" hidden="false" customHeight="false" outlineLevel="0" collapsed="false">
      <c r="B45" s="3" t="s">
        <v>22</v>
      </c>
    </row>
    <row r="46" customFormat="false" ht="15" hidden="false" customHeight="false" outlineLevel="0" collapsed="false">
      <c r="B46" s="0" t="s">
        <v>23</v>
      </c>
      <c r="C46" s="7" t="n">
        <v>0.24</v>
      </c>
    </row>
    <row r="47" customFormat="false" ht="15" hidden="false" customHeight="false" outlineLevel="0" collapsed="false">
      <c r="B47" s="0" t="s">
        <v>24</v>
      </c>
      <c r="C47" s="7" t="n">
        <v>0.06</v>
      </c>
    </row>
    <row r="48" customFormat="false" ht="15" hidden="false" customHeight="false" outlineLevel="0" collapsed="false">
      <c r="B48" s="0" t="s">
        <v>25</v>
      </c>
      <c r="C48" s="7" t="n">
        <v>0.07</v>
      </c>
    </row>
    <row r="49" customFormat="false" ht="15" hidden="false" customHeight="false" outlineLevel="0" collapsed="false">
      <c r="B49" s="0" t="s">
        <v>26</v>
      </c>
      <c r="C49" s="7" t="n">
        <v>0.03</v>
      </c>
    </row>
    <row r="50" customFormat="false" ht="15" hidden="false" customHeight="false" outlineLevel="0" collapsed="false">
      <c r="B50" s="0" t="s">
        <v>27</v>
      </c>
      <c r="C50" s="11" t="n">
        <v>250</v>
      </c>
    </row>
    <row r="51" customFormat="false" ht="15" hidden="false" customHeight="false" outlineLevel="0" collapsed="false">
      <c r="B51" s="0" t="s">
        <v>28</v>
      </c>
      <c r="C51" s="11" t="n">
        <v>150</v>
      </c>
    </row>
    <row r="52" customFormat="false" ht="15" hidden="false" customHeight="false" outlineLevel="0" collapsed="false">
      <c r="B52" s="0" t="s">
        <v>29</v>
      </c>
      <c r="C52" s="11" t="n">
        <v>150</v>
      </c>
    </row>
    <row r="53" customFormat="false" ht="15" hidden="false" customHeight="false" outlineLevel="0" collapsed="false">
      <c r="B53" s="0" t="s">
        <v>30</v>
      </c>
      <c r="C53" s="7" t="n">
        <v>0.036</v>
      </c>
    </row>
    <row r="54" customFormat="false" ht="15" hidden="false" customHeight="false" outlineLevel="0" collapsed="false">
      <c r="B54" s="0" t="s">
        <v>31</v>
      </c>
      <c r="C54" s="7" t="n">
        <v>0.045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34.71"/>
    <col collapsed="false" customWidth="true" hidden="false" outlineLevel="0" max="11" min="3" style="0" width="11.71"/>
  </cols>
  <sheetData>
    <row r="2" customFormat="false" ht="17.35" hidden="false" customHeight="false" outlineLevel="0" collapsed="false">
      <c r="B2" s="1" t="s">
        <v>32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/>
      <c r="C6" s="5" t="s">
        <v>4</v>
      </c>
      <c r="D6" s="5" t="s">
        <v>5</v>
      </c>
      <c r="E6" s="5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11</v>
      </c>
    </row>
    <row r="7" customFormat="false" ht="15" hidden="false" customHeight="false" outlineLevel="0" collapsed="false">
      <c r="B7" s="3" t="s">
        <v>33</v>
      </c>
      <c r="C7" s="11" t="n">
        <v>4200</v>
      </c>
      <c r="D7" s="11" t="n">
        <v>4480</v>
      </c>
      <c r="E7" s="11" t="n">
        <v>4750</v>
      </c>
      <c r="F7" s="12" t="n">
        <f aca="false">E7*(1+Inputs!F$13)</f>
        <v>4987.5</v>
      </c>
      <c r="G7" s="12" t="n">
        <f aca="false">F7*(1+Inputs!G$13)</f>
        <v>5236.875</v>
      </c>
      <c r="H7" s="12" t="n">
        <f aca="false">G7*(1+Inputs!H$13)</f>
        <v>5472.534375</v>
      </c>
      <c r="I7" s="12" t="n">
        <f aca="false">H7*(1+Inputs!I$13)</f>
        <v>5691.43575</v>
      </c>
      <c r="J7" s="12" t="n">
        <f aca="false">I7*(1+Inputs!J$13)</f>
        <v>5890.63600125</v>
      </c>
    </row>
    <row r="8" customFormat="false" ht="15" hidden="false" customHeight="false" outlineLevel="0" collapsed="false">
      <c r="B8" s="0" t="s">
        <v>34</v>
      </c>
      <c r="C8" s="11" t="n">
        <v>2457</v>
      </c>
      <c r="D8" s="11" t="n">
        <v>2598.4</v>
      </c>
      <c r="E8" s="11" t="n">
        <v>2745.5</v>
      </c>
      <c r="F8" s="12" t="n">
        <f aca="false">F7*Inputs!F$19</f>
        <v>2867.8125</v>
      </c>
      <c r="G8" s="12" t="n">
        <f aca="false">G7*Inputs!G$19</f>
        <v>3011.203125</v>
      </c>
      <c r="H8" s="12" t="n">
        <f aca="false">H7*Inputs!H$19</f>
        <v>3146.707265625</v>
      </c>
      <c r="I8" s="12" t="n">
        <f aca="false">I7*Inputs!I$19</f>
        <v>3272.57555625</v>
      </c>
      <c r="J8" s="12" t="n">
        <f aca="false">J7*Inputs!J$19</f>
        <v>3387.11570071875</v>
      </c>
    </row>
    <row r="9" customFormat="false" ht="15" hidden="false" customHeight="false" outlineLevel="0" collapsed="false">
      <c r="B9" s="0" t="s">
        <v>35</v>
      </c>
      <c r="C9" s="12" t="n">
        <f aca="false">C7-C8</f>
        <v>1743</v>
      </c>
      <c r="D9" s="12" t="n">
        <f aca="false">D7-D8</f>
        <v>1881.6</v>
      </c>
      <c r="E9" s="12" t="n">
        <f aca="false">E7-E8</f>
        <v>2004.5</v>
      </c>
      <c r="F9" s="12" t="n">
        <f aca="false">F7-F8</f>
        <v>2119.6875</v>
      </c>
      <c r="G9" s="12" t="n">
        <f aca="false">G7-G8</f>
        <v>2225.671875</v>
      </c>
      <c r="H9" s="12" t="n">
        <f aca="false">H7-H8</f>
        <v>2325.827109375</v>
      </c>
      <c r="I9" s="12" t="n">
        <f aca="false">I7-I8</f>
        <v>2418.86019375</v>
      </c>
      <c r="J9" s="12" t="n">
        <f aca="false">J7-J8</f>
        <v>2503.52030053125</v>
      </c>
    </row>
    <row r="10" customFormat="false" ht="15" hidden="false" customHeight="false" outlineLevel="0" collapsed="false">
      <c r="B10" s="0" t="s">
        <v>36</v>
      </c>
      <c r="C10" s="11" t="n">
        <v>1008</v>
      </c>
      <c r="D10" s="11" t="n">
        <v>1066.24</v>
      </c>
      <c r="E10" s="11" t="n">
        <v>1121</v>
      </c>
      <c r="F10" s="12" t="n">
        <f aca="false">F7*Inputs!F$25</f>
        <v>1172.0625</v>
      </c>
      <c r="G10" s="12" t="n">
        <f aca="false">G7*Inputs!G$25</f>
        <v>1230.665625</v>
      </c>
      <c r="H10" s="12" t="n">
        <f aca="false">H7*Inputs!H$25</f>
        <v>1286.045578125</v>
      </c>
      <c r="I10" s="12" t="n">
        <f aca="false">I7*Inputs!I$25</f>
        <v>1337.48740125</v>
      </c>
      <c r="J10" s="12" t="n">
        <f aca="false">J7*Inputs!J$25</f>
        <v>1384.29946029375</v>
      </c>
    </row>
    <row r="11" customFormat="false" ht="15" hidden="false" customHeight="false" outlineLevel="0" collapsed="false">
      <c r="B11" s="3" t="s">
        <v>37</v>
      </c>
      <c r="C11" s="13" t="n">
        <f aca="false">C9-C10</f>
        <v>735</v>
      </c>
      <c r="D11" s="13" t="n">
        <f aca="false">D9-D10</f>
        <v>815.36</v>
      </c>
      <c r="E11" s="13" t="n">
        <f aca="false">E9-E10</f>
        <v>883.5</v>
      </c>
      <c r="F11" s="13" t="n">
        <f aca="false">F9-F10</f>
        <v>947.625</v>
      </c>
      <c r="G11" s="13" t="n">
        <f aca="false">G9-G10</f>
        <v>995.006250000001</v>
      </c>
      <c r="H11" s="13" t="n">
        <f aca="false">H9-H10</f>
        <v>1039.78153125</v>
      </c>
      <c r="I11" s="13" t="n">
        <f aca="false">I9-I10</f>
        <v>1081.3727925</v>
      </c>
      <c r="J11" s="13" t="n">
        <f aca="false">J9-J10</f>
        <v>1119.2208402375</v>
      </c>
    </row>
    <row r="12" customFormat="false" ht="15" hidden="false" customHeight="false" outlineLevel="0" collapsed="false">
      <c r="B12" s="0" t="s">
        <v>38</v>
      </c>
      <c r="C12" s="11" t="n">
        <v>147</v>
      </c>
      <c r="D12" s="11" t="n">
        <v>156.8</v>
      </c>
      <c r="E12" s="11" t="n">
        <v>166.25</v>
      </c>
      <c r="F12" s="12" t="n">
        <f aca="false">F7*Inputs!$C$53</f>
        <v>179.55</v>
      </c>
      <c r="G12" s="12" t="n">
        <f aca="false">G7*Inputs!$C$53</f>
        <v>188.5275</v>
      </c>
      <c r="H12" s="12" t="n">
        <f aca="false">H7*Inputs!$C$53</f>
        <v>197.0112375</v>
      </c>
      <c r="I12" s="12" t="n">
        <f aca="false">I7*Inputs!$C$53</f>
        <v>204.891687</v>
      </c>
      <c r="J12" s="12" t="n">
        <f aca="false">J7*Inputs!$C$53</f>
        <v>212.062896045</v>
      </c>
    </row>
    <row r="13" customFormat="false" ht="15" hidden="false" customHeight="false" outlineLevel="0" collapsed="false">
      <c r="B13" s="0" t="s">
        <v>39</v>
      </c>
      <c r="C13" s="12" t="n">
        <f aca="false">C11-C12</f>
        <v>588</v>
      </c>
      <c r="D13" s="12" t="n">
        <f aca="false">D11-D12</f>
        <v>658.56</v>
      </c>
      <c r="E13" s="12" t="n">
        <f aca="false">E11-E12</f>
        <v>717.25</v>
      </c>
      <c r="F13" s="12" t="n">
        <f aca="false">F11-F12</f>
        <v>768.075</v>
      </c>
      <c r="G13" s="12" t="n">
        <f aca="false">G11-G12</f>
        <v>806.478750000001</v>
      </c>
      <c r="H13" s="12" t="n">
        <f aca="false">H11-H12</f>
        <v>842.77029375</v>
      </c>
      <c r="I13" s="12" t="n">
        <f aca="false">I11-I12</f>
        <v>876.4811055</v>
      </c>
      <c r="J13" s="12" t="n">
        <f aca="false">J11-J12</f>
        <v>907.1579441925</v>
      </c>
    </row>
    <row r="14" customFormat="false" ht="15" hidden="false" customHeight="false" outlineLevel="0" collapsed="false">
      <c r="B14" s="0" t="s">
        <v>40</v>
      </c>
      <c r="C14" s="11" t="n">
        <v>126</v>
      </c>
      <c r="D14" s="11" t="n">
        <v>123</v>
      </c>
      <c r="E14" s="11" t="n">
        <v>118</v>
      </c>
      <c r="F14" s="12" t="n">
        <f aca="false">'Balance Sheet'!E18*Inputs!$C$47+'Balance Sheet'!E17*Inputs!$C$48</f>
        <v>114</v>
      </c>
      <c r="G14" s="12" t="n">
        <f aca="false">'Balance Sheet'!F18*Inputs!$C$47+'Balance Sheet'!F17*Inputs!$C$48</f>
        <v>105</v>
      </c>
      <c r="H14" s="12" t="n">
        <f aca="false">'Balance Sheet'!G18*Inputs!$C$47+'Balance Sheet'!G17*Inputs!$C$48</f>
        <v>96</v>
      </c>
      <c r="I14" s="12" t="n">
        <f aca="false">'Balance Sheet'!H18*Inputs!$C$47+'Balance Sheet'!H17*Inputs!$C$48</f>
        <v>87</v>
      </c>
      <c r="J14" s="12" t="n">
        <f aca="false">'Balance Sheet'!I18*Inputs!$C$47+'Balance Sheet'!I17*Inputs!$C$48</f>
        <v>78</v>
      </c>
    </row>
    <row r="15" customFormat="false" ht="15" hidden="false" customHeight="false" outlineLevel="0" collapsed="false">
      <c r="B15" s="0" t="s">
        <v>41</v>
      </c>
      <c r="C15" s="11" t="n">
        <v>6</v>
      </c>
      <c r="D15" s="11" t="n">
        <v>7</v>
      </c>
      <c r="E15" s="11" t="n">
        <v>8</v>
      </c>
      <c r="F15" s="12" t="n">
        <f aca="false">'Balance Sheet'!E7*Inputs!$C$49</f>
        <v>9</v>
      </c>
      <c r="G15" s="12" t="n">
        <f aca="false">'Balance Sheet'!F7*Inputs!$C$49</f>
        <v>12.6734284931507</v>
      </c>
      <c r="H15" s="12" t="n">
        <f aca="false">'Balance Sheet'!G7*Inputs!$C$49</f>
        <v>17.2872390874521</v>
      </c>
      <c r="I15" s="12" t="n">
        <f aca="false">'Balance Sheet'!H7*Inputs!$C$49</f>
        <v>23.0442833849474</v>
      </c>
      <c r="J15" s="12" t="n">
        <f aca="false">'Balance Sheet'!I7*Inputs!$C$49</f>
        <v>29.9316208989385</v>
      </c>
    </row>
    <row r="16" customFormat="false" ht="15" hidden="false" customHeight="false" outlineLevel="0" collapsed="false">
      <c r="B16" s="0" t="s">
        <v>42</v>
      </c>
      <c r="C16" s="12" t="n">
        <f aca="false">C13-C14+C15</f>
        <v>468</v>
      </c>
      <c r="D16" s="12" t="n">
        <f aca="false">D13-D14+D15</f>
        <v>542.56</v>
      </c>
      <c r="E16" s="12" t="n">
        <f aca="false">E13-E14+E15</f>
        <v>607.25</v>
      </c>
      <c r="F16" s="12" t="n">
        <f aca="false">F13-F14+F15</f>
        <v>663.075</v>
      </c>
      <c r="G16" s="12" t="n">
        <f aca="false">G13-G14+G15</f>
        <v>714.152178493151</v>
      </c>
      <c r="H16" s="12" t="n">
        <f aca="false">H13-H14+H15</f>
        <v>764.057532837452</v>
      </c>
      <c r="I16" s="12" t="n">
        <f aca="false">I13-I14+I15</f>
        <v>812.525388884948</v>
      </c>
      <c r="J16" s="12" t="n">
        <f aca="false">J13-J14+J15</f>
        <v>859.089565091439</v>
      </c>
    </row>
    <row r="17" customFormat="false" ht="15" hidden="false" customHeight="false" outlineLevel="0" collapsed="false">
      <c r="B17" s="0" t="s">
        <v>43</v>
      </c>
      <c r="C17" s="11" t="n">
        <v>112.32</v>
      </c>
      <c r="D17" s="11" t="n">
        <v>130.2144</v>
      </c>
      <c r="E17" s="11" t="n">
        <v>145.74</v>
      </c>
      <c r="F17" s="12" t="n">
        <f aca="false">MAX(0,F16)*Inputs!$C$46</f>
        <v>159.138</v>
      </c>
      <c r="G17" s="12" t="n">
        <f aca="false">MAX(0,G16)*Inputs!$C$46</f>
        <v>171.396522838356</v>
      </c>
      <c r="H17" s="12" t="n">
        <f aca="false">MAX(0,H16)*Inputs!$C$46</f>
        <v>183.373807880989</v>
      </c>
      <c r="I17" s="12" t="n">
        <f aca="false">MAX(0,I16)*Inputs!$C$46</f>
        <v>195.006093332387</v>
      </c>
      <c r="J17" s="12" t="n">
        <f aca="false">MAX(0,J16)*Inputs!$C$46</f>
        <v>206.181495621945</v>
      </c>
    </row>
    <row r="18" customFormat="false" ht="15" hidden="false" customHeight="false" outlineLevel="0" collapsed="false">
      <c r="B18" s="3" t="s">
        <v>44</v>
      </c>
      <c r="C18" s="13" t="n">
        <f aca="false">C16-C17</f>
        <v>355.68</v>
      </c>
      <c r="D18" s="13" t="n">
        <f aca="false">D16-D17</f>
        <v>412.3456</v>
      </c>
      <c r="E18" s="13" t="n">
        <f aca="false">E16-E17</f>
        <v>461.51</v>
      </c>
      <c r="F18" s="13" t="n">
        <f aca="false">F16-F17</f>
        <v>503.937</v>
      </c>
      <c r="G18" s="13" t="n">
        <f aca="false">G16-G17</f>
        <v>542.755655654795</v>
      </c>
      <c r="H18" s="13" t="n">
        <f aca="false">H16-H17</f>
        <v>580.683724956464</v>
      </c>
      <c r="I18" s="13" t="n">
        <f aca="false">I16-I17</f>
        <v>617.51929555256</v>
      </c>
      <c r="J18" s="13" t="n">
        <f aca="false">J16-J17</f>
        <v>652.908069469493</v>
      </c>
    </row>
    <row r="20" customFormat="false" ht="15" hidden="false" customHeight="false" outlineLevel="0" collapsed="false">
      <c r="B20" s="0" t="s">
        <v>45</v>
      </c>
      <c r="C20" s="14" t="n">
        <f aca="false">C11/C7</f>
        <v>0.175</v>
      </c>
      <c r="D20" s="14" t="n">
        <f aca="false">D11/D7</f>
        <v>0.182</v>
      </c>
      <c r="E20" s="14" t="n">
        <f aca="false">E11/E7</f>
        <v>0.186</v>
      </c>
      <c r="F20" s="14" t="n">
        <f aca="false">F11/F7</f>
        <v>0.19</v>
      </c>
      <c r="G20" s="14" t="n">
        <f aca="false">G11/G7</f>
        <v>0.19</v>
      </c>
      <c r="H20" s="14" t="n">
        <f aca="false">H11/H7</f>
        <v>0.19</v>
      </c>
      <c r="I20" s="14" t="n">
        <f aca="false">I11/I7</f>
        <v>0.19</v>
      </c>
      <c r="J20" s="14" t="n">
        <f aca="false">J11/J7</f>
        <v>0.19</v>
      </c>
    </row>
    <row r="21" customFormat="false" ht="15" hidden="false" customHeight="false" outlineLevel="0" collapsed="false">
      <c r="B21" s="0" t="s">
        <v>12</v>
      </c>
      <c r="D21" s="14" t="n">
        <f aca="false">D7/C7-1</f>
        <v>0.0666666666666667</v>
      </c>
      <c r="E21" s="14" t="n">
        <f aca="false">E7/D7-1</f>
        <v>0.0602678571428572</v>
      </c>
      <c r="F21" s="14" t="n">
        <f aca="false">F7/E7-1</f>
        <v>0.05</v>
      </c>
      <c r="G21" s="14" t="n">
        <f aca="false">G7/F7-1</f>
        <v>0.05</v>
      </c>
      <c r="H21" s="14" t="n">
        <f aca="false">H7/G7-1</f>
        <v>0.0449999999999999</v>
      </c>
      <c r="I21" s="14" t="n">
        <f aca="false">I7/H7-1</f>
        <v>0.04</v>
      </c>
      <c r="J21" s="14" t="n">
        <f aca="false">J7/I7-1</f>
        <v>0.0349999999999999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34.71"/>
    <col collapsed="false" customWidth="true" hidden="false" outlineLevel="0" max="11" min="3" style="0" width="11.71"/>
  </cols>
  <sheetData>
    <row r="2" customFormat="false" ht="17.35" hidden="false" customHeight="false" outlineLevel="0" collapsed="false">
      <c r="B2" s="1" t="s">
        <v>46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/>
      <c r="C6" s="5" t="s">
        <v>4</v>
      </c>
      <c r="D6" s="5" t="s">
        <v>5</v>
      </c>
      <c r="E6" s="5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11</v>
      </c>
    </row>
    <row r="7" customFormat="false" ht="15" hidden="false" customHeight="false" outlineLevel="0" collapsed="false">
      <c r="B7" s="0" t="s">
        <v>47</v>
      </c>
      <c r="C7" s="11" t="n">
        <v>260</v>
      </c>
      <c r="D7" s="11" t="n">
        <v>280</v>
      </c>
      <c r="E7" s="11" t="n">
        <v>300</v>
      </c>
      <c r="F7" s="15" t="n">
        <f aca="false">'Cash Flow'!F17+'Cash Flow'!F18</f>
        <v>422.447616438356</v>
      </c>
      <c r="G7" s="15" t="n">
        <f aca="false">'Cash Flow'!G17+'Cash Flow'!G18</f>
        <v>576.241302915069</v>
      </c>
      <c r="H7" s="15" t="n">
        <f aca="false">'Cash Flow'!H17+'Cash Flow'!H18</f>
        <v>768.142779498245</v>
      </c>
      <c r="I7" s="15" t="n">
        <f aca="false">'Cash Flow'!I17+'Cash Flow'!I18</f>
        <v>997.720696631285</v>
      </c>
      <c r="J7" s="15" t="n">
        <f aca="false">'Cash Flow'!J17+'Cash Flow'!J18</f>
        <v>1264.19924652026</v>
      </c>
    </row>
    <row r="8" customFormat="false" ht="15" hidden="false" customHeight="false" outlineLevel="0" collapsed="false">
      <c r="B8" s="0" t="s">
        <v>48</v>
      </c>
      <c r="C8" s="11" t="n">
        <v>540</v>
      </c>
      <c r="D8" s="11" t="n">
        <v>585</v>
      </c>
      <c r="E8" s="11" t="n">
        <v>620</v>
      </c>
      <c r="F8" s="12" t="n">
        <f aca="false">'Income Statement'!F7*Inputs!F$31/365</f>
        <v>655.890410958904</v>
      </c>
      <c r="G8" s="12" t="n">
        <f aca="false">'Income Statement'!G7*Inputs!G$31/365</f>
        <v>688.684931506849</v>
      </c>
      <c r="H8" s="12" t="n">
        <f aca="false">'Income Statement'!H7*Inputs!H$31/365</f>
        <v>719.675753424657</v>
      </c>
      <c r="I8" s="12" t="n">
        <f aca="false">'Income Statement'!I7*Inputs!I$31/365</f>
        <v>748.462783561644</v>
      </c>
      <c r="J8" s="12" t="n">
        <f aca="false">'Income Statement'!J7*Inputs!J$31/365</f>
        <v>774.658980986301</v>
      </c>
    </row>
    <row r="9" customFormat="false" ht="15" hidden="false" customHeight="false" outlineLevel="0" collapsed="false">
      <c r="B9" s="0" t="s">
        <v>49</v>
      </c>
      <c r="C9" s="11" t="n">
        <v>505</v>
      </c>
      <c r="D9" s="11" t="n">
        <v>535</v>
      </c>
      <c r="E9" s="11" t="n">
        <v>560</v>
      </c>
      <c r="F9" s="12" t="n">
        <f aca="false">'Income Statement'!F8*Inputs!F$37/365</f>
        <v>581.419520547945</v>
      </c>
      <c r="G9" s="12" t="n">
        <f aca="false">'Income Statement'!G8*Inputs!G$37/365</f>
        <v>610.490496575342</v>
      </c>
      <c r="H9" s="12" t="n">
        <f aca="false">'Income Statement'!H8*Inputs!H$37/365</f>
        <v>637.962568921233</v>
      </c>
      <c r="I9" s="12" t="n">
        <f aca="false">'Income Statement'!I8*Inputs!I$37/365</f>
        <v>663.481071678082</v>
      </c>
      <c r="J9" s="12" t="n">
        <f aca="false">'Income Statement'!J8*Inputs!J$37/365</f>
        <v>686.702909186815</v>
      </c>
    </row>
    <row r="10" customFormat="false" ht="15" hidden="false" customHeight="false" outlineLevel="0" collapsed="false">
      <c r="B10" s="0" t="s">
        <v>50</v>
      </c>
      <c r="C10" s="11" t="n">
        <v>110</v>
      </c>
      <c r="D10" s="11" t="n">
        <v>115</v>
      </c>
      <c r="E10" s="11" t="n">
        <v>120</v>
      </c>
      <c r="F10" s="12" t="n">
        <f aca="false">E10</f>
        <v>120</v>
      </c>
      <c r="G10" s="12" t="n">
        <f aca="false">F10</f>
        <v>120</v>
      </c>
      <c r="H10" s="12" t="n">
        <f aca="false">G10</f>
        <v>120</v>
      </c>
      <c r="I10" s="12" t="n">
        <f aca="false">H10</f>
        <v>120</v>
      </c>
      <c r="J10" s="12" t="n">
        <f aca="false">I10</f>
        <v>120</v>
      </c>
    </row>
    <row r="11" customFormat="false" ht="15" hidden="false" customHeight="false" outlineLevel="0" collapsed="false">
      <c r="B11" s="0" t="s">
        <v>51</v>
      </c>
      <c r="C11" s="11" t="n">
        <v>1380</v>
      </c>
      <c r="D11" s="11" t="n">
        <v>1415</v>
      </c>
      <c r="E11" s="11" t="n">
        <v>1450</v>
      </c>
      <c r="F11" s="12" t="n">
        <f aca="false">E11+'Income Statement'!F7*Inputs!$C$54-'Income Statement'!F12</f>
        <v>1494.8875</v>
      </c>
      <c r="G11" s="12" t="n">
        <f aca="false">F11+'Income Statement'!G7*Inputs!$C$54-'Income Statement'!G12</f>
        <v>1542.019375</v>
      </c>
      <c r="H11" s="12" t="n">
        <f aca="false">G11+'Income Statement'!H7*Inputs!$C$54-'Income Statement'!H12</f>
        <v>1591.272184375</v>
      </c>
      <c r="I11" s="12" t="n">
        <f aca="false">H11+'Income Statement'!I7*Inputs!$C$54-'Income Statement'!I12</f>
        <v>1642.495106125</v>
      </c>
      <c r="J11" s="12" t="n">
        <f aca="false">I11+'Income Statement'!J7*Inputs!$C$54-'Income Statement'!J12</f>
        <v>1695.51083013625</v>
      </c>
    </row>
    <row r="12" customFormat="false" ht="15" hidden="false" customHeight="false" outlineLevel="0" collapsed="false">
      <c r="B12" s="0" t="s">
        <v>52</v>
      </c>
      <c r="C12" s="11" t="n">
        <v>900</v>
      </c>
      <c r="D12" s="11" t="n">
        <v>900</v>
      </c>
      <c r="E12" s="11" t="n">
        <v>900</v>
      </c>
      <c r="F12" s="12" t="n">
        <f aca="false">E12</f>
        <v>900</v>
      </c>
      <c r="G12" s="12" t="n">
        <f aca="false">F12</f>
        <v>900</v>
      </c>
      <c r="H12" s="12" t="n">
        <f aca="false">G12</f>
        <v>900</v>
      </c>
      <c r="I12" s="12" t="n">
        <f aca="false">H12</f>
        <v>900</v>
      </c>
      <c r="J12" s="12" t="n">
        <f aca="false">I12</f>
        <v>900</v>
      </c>
    </row>
    <row r="13" customFormat="false" ht="15" hidden="false" customHeight="false" outlineLevel="0" collapsed="false">
      <c r="B13" s="3" t="s">
        <v>53</v>
      </c>
      <c r="C13" s="13" t="n">
        <f aca="false">SUM(C7:C12)</f>
        <v>3695</v>
      </c>
      <c r="D13" s="13" t="n">
        <f aca="false">SUM(D7:D12)</f>
        <v>3830</v>
      </c>
      <c r="E13" s="13" t="n">
        <f aca="false">SUM(E7:E12)</f>
        <v>3950</v>
      </c>
      <c r="F13" s="13" t="n">
        <f aca="false">SUM(F7:F12)</f>
        <v>4174.64504794521</v>
      </c>
      <c r="G13" s="13" t="n">
        <f aca="false">SUM(G7:G12)</f>
        <v>4437.43610599726</v>
      </c>
      <c r="H13" s="13" t="n">
        <f aca="false">SUM(H7:H12)</f>
        <v>4737.05328621914</v>
      </c>
      <c r="I13" s="13" t="n">
        <f aca="false">SUM(I7:I12)</f>
        <v>5072.15965799601</v>
      </c>
      <c r="J13" s="13" t="n">
        <f aca="false">SUM(J7:J12)</f>
        <v>5441.07196682963</v>
      </c>
    </row>
    <row r="15" customFormat="false" ht="15" hidden="false" customHeight="false" outlineLevel="0" collapsed="false">
      <c r="B15" s="0" t="s">
        <v>54</v>
      </c>
      <c r="C15" s="11" t="n">
        <v>345</v>
      </c>
      <c r="D15" s="11" t="n">
        <v>362</v>
      </c>
      <c r="E15" s="11" t="n">
        <v>380</v>
      </c>
      <c r="F15" s="12" t="n">
        <f aca="false">'Income Statement'!F8*Inputs!F$43/365</f>
        <v>400.708047945205</v>
      </c>
      <c r="G15" s="12" t="n">
        <f aca="false">'Income Statement'!G8*Inputs!G$43/365</f>
        <v>420.743450342466</v>
      </c>
      <c r="H15" s="12" t="n">
        <f aca="false">'Income Statement'!H8*Inputs!H$43/365</f>
        <v>439.676905607877</v>
      </c>
      <c r="I15" s="12" t="n">
        <f aca="false">'Income Statement'!I8*Inputs!I$43/365</f>
        <v>457.263981832192</v>
      </c>
      <c r="J15" s="12" t="n">
        <f aca="false">'Income Statement'!J8*Inputs!J$43/365</f>
        <v>473.268221196318</v>
      </c>
    </row>
    <row r="16" customFormat="false" ht="15" hidden="false" customHeight="false" outlineLevel="0" collapsed="false">
      <c r="B16" s="0" t="s">
        <v>55</v>
      </c>
      <c r="C16" s="11" t="n">
        <v>270</v>
      </c>
      <c r="D16" s="11" t="n">
        <v>280</v>
      </c>
      <c r="E16" s="11" t="n">
        <v>290</v>
      </c>
      <c r="F16" s="12" t="n">
        <f aca="false">E16</f>
        <v>290</v>
      </c>
      <c r="G16" s="12" t="n">
        <f aca="false">F16</f>
        <v>290</v>
      </c>
      <c r="H16" s="12" t="n">
        <f aca="false">G16</f>
        <v>290</v>
      </c>
      <c r="I16" s="12" t="n">
        <f aca="false">H16</f>
        <v>290</v>
      </c>
      <c r="J16" s="12" t="n">
        <f aca="false">I16</f>
        <v>290</v>
      </c>
    </row>
    <row r="17" customFormat="false" ht="15" hidden="false" customHeight="false" outlineLevel="0" collapsed="false">
      <c r="B17" s="0" t="s">
        <v>56</v>
      </c>
      <c r="C17" s="11" t="n">
        <v>0</v>
      </c>
      <c r="D17" s="11" t="n">
        <v>0</v>
      </c>
      <c r="E17" s="11" t="n">
        <v>0</v>
      </c>
      <c r="F17" s="12" t="n">
        <f aca="false">E17+'Cash Flow'!F18</f>
        <v>0</v>
      </c>
      <c r="G17" s="12" t="n">
        <f aca="false">F17+'Cash Flow'!G18</f>
        <v>0</v>
      </c>
      <c r="H17" s="12" t="n">
        <f aca="false">G17+'Cash Flow'!H18</f>
        <v>0</v>
      </c>
      <c r="I17" s="12" t="n">
        <f aca="false">H17+'Cash Flow'!I18</f>
        <v>0</v>
      </c>
      <c r="J17" s="12" t="n">
        <f aca="false">I17+'Cash Flow'!J18</f>
        <v>0</v>
      </c>
    </row>
    <row r="18" customFormat="false" ht="15" hidden="false" customHeight="false" outlineLevel="0" collapsed="false">
      <c r="B18" s="0" t="s">
        <v>57</v>
      </c>
      <c r="C18" s="11" t="n">
        <v>2200</v>
      </c>
      <c r="D18" s="11" t="n">
        <v>2050</v>
      </c>
      <c r="E18" s="11" t="n">
        <v>1900</v>
      </c>
      <c r="F18" s="12" t="n">
        <f aca="false">MAX(0,E18-Inputs!$C$51)</f>
        <v>1750</v>
      </c>
      <c r="G18" s="12" t="n">
        <f aca="false">MAX(0,F18-Inputs!$C$51)</f>
        <v>1600</v>
      </c>
      <c r="H18" s="12" t="n">
        <f aca="false">MAX(0,G18-Inputs!$C$51)</f>
        <v>1450</v>
      </c>
      <c r="I18" s="12" t="n">
        <f aca="false">MAX(0,H18-Inputs!$C$51)</f>
        <v>1300</v>
      </c>
      <c r="J18" s="12" t="n">
        <f aca="false">MAX(0,I18-Inputs!$C$51)</f>
        <v>1150</v>
      </c>
    </row>
    <row r="19" customFormat="false" ht="15" hidden="false" customHeight="false" outlineLevel="0" collapsed="false">
      <c r="B19" s="0" t="s">
        <v>58</v>
      </c>
      <c r="C19" s="11" t="n">
        <v>250</v>
      </c>
      <c r="D19" s="11" t="n">
        <v>255</v>
      </c>
      <c r="E19" s="11" t="n">
        <v>260</v>
      </c>
      <c r="F19" s="12" t="n">
        <f aca="false">E19</f>
        <v>260</v>
      </c>
      <c r="G19" s="12" t="n">
        <f aca="false">F19</f>
        <v>260</v>
      </c>
      <c r="H19" s="12" t="n">
        <f aca="false">G19</f>
        <v>260</v>
      </c>
      <c r="I19" s="12" t="n">
        <f aca="false">H19</f>
        <v>260</v>
      </c>
      <c r="J19" s="12" t="n">
        <f aca="false">I19</f>
        <v>260</v>
      </c>
    </row>
    <row r="20" customFormat="false" ht="15" hidden="false" customHeight="false" outlineLevel="0" collapsed="false">
      <c r="B20" s="3" t="s">
        <v>59</v>
      </c>
      <c r="C20" s="13" t="n">
        <f aca="false">SUM(C15:C19)</f>
        <v>3065</v>
      </c>
      <c r="D20" s="13" t="n">
        <f aca="false">SUM(D15:D19)</f>
        <v>2947</v>
      </c>
      <c r="E20" s="13" t="n">
        <f aca="false">SUM(E15:E19)</f>
        <v>2830</v>
      </c>
      <c r="F20" s="13" t="n">
        <f aca="false">SUM(F15:F19)</f>
        <v>2700.70804794521</v>
      </c>
      <c r="G20" s="13" t="n">
        <f aca="false">SUM(G15:G19)</f>
        <v>2570.74345034247</v>
      </c>
      <c r="H20" s="13" t="n">
        <f aca="false">SUM(H15:H19)</f>
        <v>2439.67690560788</v>
      </c>
      <c r="I20" s="13" t="n">
        <f aca="false">SUM(I15:I19)</f>
        <v>2307.26398183219</v>
      </c>
      <c r="J20" s="13" t="n">
        <f aca="false">SUM(J15:J19)</f>
        <v>2173.26822119632</v>
      </c>
    </row>
    <row r="21" customFormat="false" ht="15" hidden="false" customHeight="false" outlineLevel="0" collapsed="false">
      <c r="B21" s="3" t="s">
        <v>60</v>
      </c>
      <c r="C21" s="11" t="n">
        <v>630</v>
      </c>
      <c r="D21" s="11" t="n">
        <v>883</v>
      </c>
      <c r="E21" s="11" t="n">
        <v>1120</v>
      </c>
      <c r="F21" s="12" t="n">
        <f aca="false">E21+'Income Statement'!F18-Inputs!$C$52</f>
        <v>1473.937</v>
      </c>
      <c r="G21" s="12" t="n">
        <f aca="false">F21+'Income Statement'!G18-Inputs!$C$52</f>
        <v>1866.6926556548</v>
      </c>
      <c r="H21" s="12" t="n">
        <f aca="false">G21+'Income Statement'!H18-Inputs!$C$52</f>
        <v>2297.37638061126</v>
      </c>
      <c r="I21" s="12" t="n">
        <f aca="false">H21+'Income Statement'!I18-Inputs!$C$52</f>
        <v>2764.89567616382</v>
      </c>
      <c r="J21" s="12" t="n">
        <f aca="false">I21+'Income Statement'!J18-Inputs!$C$52</f>
        <v>3267.80374563331</v>
      </c>
    </row>
    <row r="22" customFormat="false" ht="15" hidden="false" customHeight="false" outlineLevel="0" collapsed="false">
      <c r="B22" s="3" t="s">
        <v>61</v>
      </c>
      <c r="C22" s="13" t="n">
        <f aca="false">C20+C21</f>
        <v>3695</v>
      </c>
      <c r="D22" s="13" t="n">
        <f aca="false">D20+D21</f>
        <v>3830</v>
      </c>
      <c r="E22" s="13" t="n">
        <f aca="false">E20+E21</f>
        <v>3950</v>
      </c>
      <c r="F22" s="13" t="n">
        <f aca="false">F20+F21</f>
        <v>4174.64504794521</v>
      </c>
      <c r="G22" s="13" t="n">
        <f aca="false">G20+G21</f>
        <v>4437.43610599726</v>
      </c>
      <c r="H22" s="13" t="n">
        <f aca="false">H20+H21</f>
        <v>4737.05328621914</v>
      </c>
      <c r="I22" s="13" t="n">
        <f aca="false">I20+I21</f>
        <v>5072.15965799601</v>
      </c>
      <c r="J22" s="13" t="n">
        <f aca="false">J20+J21</f>
        <v>5441.07196682963</v>
      </c>
    </row>
    <row r="24" customFormat="false" ht="15" hidden="false" customHeight="false" outlineLevel="0" collapsed="false">
      <c r="B24" s="3" t="s">
        <v>62</v>
      </c>
      <c r="C24" s="16" t="n">
        <f aca="false">ROUND(C13-C22,6)</f>
        <v>0</v>
      </c>
      <c r="D24" s="16" t="n">
        <f aca="false">ROUND(D13-D22,6)</f>
        <v>0</v>
      </c>
      <c r="E24" s="16" t="n">
        <f aca="false">ROUND(E13-E22,6)</f>
        <v>0</v>
      </c>
      <c r="F24" s="16" t="n">
        <f aca="false">ROUND(F13-F22,6)</f>
        <v>0</v>
      </c>
      <c r="G24" s="16" t="n">
        <f aca="false">ROUND(G13-G22,6)</f>
        <v>0</v>
      </c>
      <c r="H24" s="16" t="n">
        <f aca="false">ROUND(H13-H22,6)</f>
        <v>0</v>
      </c>
      <c r="I24" s="16" t="n">
        <f aca="false">ROUND(I13-I22,6)</f>
        <v>0</v>
      </c>
      <c r="J24" s="16" t="n">
        <f aca="false">ROUND(J13-J22,6)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34.71"/>
    <col collapsed="false" customWidth="true" hidden="false" outlineLevel="0" max="11" min="3" style="0" width="11.71"/>
  </cols>
  <sheetData>
    <row r="2" customFormat="false" ht="17.35" hidden="false" customHeight="false" outlineLevel="0" collapsed="false">
      <c r="B2" s="1" t="s">
        <v>63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/>
      <c r="C6" s="5" t="s">
        <v>4</v>
      </c>
      <c r="D6" s="5" t="s">
        <v>5</v>
      </c>
      <c r="E6" s="5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11</v>
      </c>
    </row>
    <row r="7" customFormat="false" ht="15" hidden="false" customHeight="false" outlineLevel="0" collapsed="false">
      <c r="B7" s="0" t="s">
        <v>44</v>
      </c>
      <c r="F7" s="15" t="n">
        <f aca="false">'Income Statement'!F18</f>
        <v>503.937</v>
      </c>
      <c r="G7" s="15" t="n">
        <f aca="false">'Income Statement'!G18</f>
        <v>542.755655654795</v>
      </c>
      <c r="H7" s="15" t="n">
        <f aca="false">'Income Statement'!H18</f>
        <v>580.683724956464</v>
      </c>
      <c r="I7" s="15" t="n">
        <f aca="false">'Income Statement'!I18</f>
        <v>617.51929555256</v>
      </c>
      <c r="J7" s="15" t="n">
        <f aca="false">'Income Statement'!J18</f>
        <v>652.908069469493</v>
      </c>
    </row>
    <row r="8" customFormat="false" ht="15" hidden="false" customHeight="false" outlineLevel="0" collapsed="false">
      <c r="B8" s="0" t="s">
        <v>38</v>
      </c>
      <c r="F8" s="15" t="n">
        <f aca="false">'Income Statement'!F12</f>
        <v>179.55</v>
      </c>
      <c r="G8" s="15" t="n">
        <f aca="false">'Income Statement'!G12</f>
        <v>188.5275</v>
      </c>
      <c r="H8" s="15" t="n">
        <f aca="false">'Income Statement'!H12</f>
        <v>197.0112375</v>
      </c>
      <c r="I8" s="15" t="n">
        <f aca="false">'Income Statement'!I12</f>
        <v>204.891687</v>
      </c>
      <c r="J8" s="15" t="n">
        <f aca="false">'Income Statement'!J12</f>
        <v>212.062896045</v>
      </c>
    </row>
    <row r="9" customFormat="false" ht="15" hidden="false" customHeight="false" outlineLevel="0" collapsed="false">
      <c r="B9" s="0" t="s">
        <v>64</v>
      </c>
      <c r="F9" s="12" t="n">
        <f aca="false">'Balance Sheet'!E8-'Balance Sheet'!F8</f>
        <v>-35.8904109589041</v>
      </c>
      <c r="G9" s="12" t="n">
        <f aca="false">'Balance Sheet'!F8-'Balance Sheet'!G8</f>
        <v>-32.7945205479452</v>
      </c>
      <c r="H9" s="12" t="n">
        <f aca="false">'Balance Sheet'!G8-'Balance Sheet'!H8</f>
        <v>-30.990821917808</v>
      </c>
      <c r="I9" s="12" t="n">
        <f aca="false">'Balance Sheet'!H8-'Balance Sheet'!I8</f>
        <v>-28.7870301369863</v>
      </c>
      <c r="J9" s="12" t="n">
        <f aca="false">'Balance Sheet'!I8-'Balance Sheet'!J8</f>
        <v>-26.1961974246574</v>
      </c>
    </row>
    <row r="10" customFormat="false" ht="15" hidden="false" customHeight="false" outlineLevel="0" collapsed="false">
      <c r="B10" s="0" t="s">
        <v>65</v>
      </c>
      <c r="F10" s="12" t="n">
        <f aca="false">'Balance Sheet'!E9-'Balance Sheet'!F9</f>
        <v>-21.4195205479452</v>
      </c>
      <c r="G10" s="12" t="n">
        <f aca="false">'Balance Sheet'!F9-'Balance Sheet'!G9</f>
        <v>-29.0709760273971</v>
      </c>
      <c r="H10" s="12" t="n">
        <f aca="false">'Balance Sheet'!G9-'Balance Sheet'!H9</f>
        <v>-27.4720723458904</v>
      </c>
      <c r="I10" s="12" t="n">
        <f aca="false">'Balance Sheet'!H9-'Balance Sheet'!I9</f>
        <v>-25.5185027568492</v>
      </c>
      <c r="J10" s="12" t="n">
        <f aca="false">'Balance Sheet'!I9-'Balance Sheet'!J9</f>
        <v>-23.221837508733</v>
      </c>
    </row>
    <row r="11" customFormat="false" ht="15" hidden="false" customHeight="false" outlineLevel="0" collapsed="false">
      <c r="B11" s="0" t="s">
        <v>66</v>
      </c>
      <c r="F11" s="12" t="n">
        <f aca="false">'Balance Sheet'!F15-'Balance Sheet'!E15</f>
        <v>20.7080479452055</v>
      </c>
      <c r="G11" s="12" t="n">
        <f aca="false">'Balance Sheet'!G15-'Balance Sheet'!F15</f>
        <v>20.0354023972602</v>
      </c>
      <c r="H11" s="12" t="n">
        <f aca="false">'Balance Sheet'!H15-'Balance Sheet'!G15</f>
        <v>18.9334552654109</v>
      </c>
      <c r="I11" s="12" t="n">
        <f aca="false">'Balance Sheet'!I15-'Balance Sheet'!H15</f>
        <v>17.5870762243151</v>
      </c>
      <c r="J11" s="12" t="n">
        <f aca="false">'Balance Sheet'!J15-'Balance Sheet'!I15</f>
        <v>16.0042393641267</v>
      </c>
    </row>
    <row r="12" customFormat="false" ht="15" hidden="false" customHeight="false" outlineLevel="0" collapsed="false">
      <c r="B12" s="3" t="s">
        <v>67</v>
      </c>
      <c r="F12" s="13" t="n">
        <f aca="false">SUM(F7:F11)</f>
        <v>646.885116438356</v>
      </c>
      <c r="G12" s="13" t="n">
        <f aca="false">SUM(G7:G11)</f>
        <v>689.453061476713</v>
      </c>
      <c r="H12" s="13" t="n">
        <f aca="false">SUM(H7:H11)</f>
        <v>738.165523458176</v>
      </c>
      <c r="I12" s="13" t="n">
        <f aca="false">SUM(I7:I11)</f>
        <v>785.69252588304</v>
      </c>
      <c r="J12" s="13" t="n">
        <f aca="false">SUM(J7:J11)</f>
        <v>831.55716994523</v>
      </c>
    </row>
    <row r="13" customFormat="false" ht="15" hidden="false" customHeight="false" outlineLevel="0" collapsed="false">
      <c r="B13" s="0" t="s">
        <v>68</v>
      </c>
      <c r="F13" s="12" t="n">
        <f aca="false">-'Income Statement'!F7*Inputs!$C$54</f>
        <v>-224.4375</v>
      </c>
      <c r="G13" s="12" t="n">
        <f aca="false">-'Income Statement'!G7*Inputs!$C$54</f>
        <v>-235.659375</v>
      </c>
      <c r="H13" s="12" t="n">
        <f aca="false">-'Income Statement'!H7*Inputs!$C$54</f>
        <v>-246.264046875</v>
      </c>
      <c r="I13" s="12" t="n">
        <f aca="false">-'Income Statement'!I7*Inputs!$C$54</f>
        <v>-256.11460875</v>
      </c>
      <c r="J13" s="12" t="n">
        <f aca="false">-'Income Statement'!J7*Inputs!$C$54</f>
        <v>-265.07862005625</v>
      </c>
    </row>
    <row r="14" customFormat="false" ht="15" hidden="false" customHeight="false" outlineLevel="0" collapsed="false">
      <c r="B14" s="3" t="s">
        <v>69</v>
      </c>
      <c r="F14" s="13" t="n">
        <f aca="false">F13</f>
        <v>-224.4375</v>
      </c>
      <c r="G14" s="13" t="n">
        <f aca="false">G13</f>
        <v>-235.659375</v>
      </c>
      <c r="H14" s="13" t="n">
        <f aca="false">H13</f>
        <v>-246.264046875</v>
      </c>
      <c r="I14" s="13" t="n">
        <f aca="false">I13</f>
        <v>-256.11460875</v>
      </c>
      <c r="J14" s="13" t="n">
        <f aca="false">J13</f>
        <v>-265.07862005625</v>
      </c>
    </row>
    <row r="15" customFormat="false" ht="15" hidden="false" customHeight="false" outlineLevel="0" collapsed="false">
      <c r="B15" s="0" t="s">
        <v>70</v>
      </c>
      <c r="F15" s="12" t="n">
        <f aca="false">-('Balance Sheet'!E18-'Balance Sheet'!F18)</f>
        <v>-150</v>
      </c>
      <c r="G15" s="12" t="n">
        <f aca="false">-('Balance Sheet'!F18-'Balance Sheet'!G18)</f>
        <v>-150</v>
      </c>
      <c r="H15" s="12" t="n">
        <f aca="false">-('Balance Sheet'!G18-'Balance Sheet'!H18)</f>
        <v>-150</v>
      </c>
      <c r="I15" s="12" t="n">
        <f aca="false">-('Balance Sheet'!H18-'Balance Sheet'!I18)</f>
        <v>-150</v>
      </c>
      <c r="J15" s="12" t="n">
        <f aca="false">-('Balance Sheet'!I18-'Balance Sheet'!J18)</f>
        <v>-150</v>
      </c>
    </row>
    <row r="16" customFormat="false" ht="15" hidden="false" customHeight="false" outlineLevel="0" collapsed="false">
      <c r="B16" s="0" t="s">
        <v>71</v>
      </c>
      <c r="F16" s="12" t="n">
        <f aca="false">-Inputs!$C$52</f>
        <v>-150</v>
      </c>
      <c r="G16" s="12" t="n">
        <f aca="false">-Inputs!$C$52</f>
        <v>-150</v>
      </c>
      <c r="H16" s="12" t="n">
        <f aca="false">-Inputs!$C$52</f>
        <v>-150</v>
      </c>
      <c r="I16" s="12" t="n">
        <f aca="false">-Inputs!$C$52</f>
        <v>-150</v>
      </c>
      <c r="J16" s="12" t="n">
        <f aca="false">-Inputs!$C$52</f>
        <v>-150</v>
      </c>
    </row>
    <row r="17" customFormat="false" ht="15" hidden="false" customHeight="false" outlineLevel="0" collapsed="false">
      <c r="B17" s="0" t="s">
        <v>72</v>
      </c>
      <c r="F17" s="12" t="n">
        <f aca="false">'Balance Sheet'!E7+F12+F14+F15+F16</f>
        <v>422.447616438356</v>
      </c>
      <c r="G17" s="12" t="n">
        <f aca="false">'Balance Sheet'!F7+G12+G14+G15+G16</f>
        <v>576.241302915069</v>
      </c>
      <c r="H17" s="12" t="n">
        <f aca="false">'Balance Sheet'!G7+H12+H14+H15+H16</f>
        <v>768.142779498245</v>
      </c>
      <c r="I17" s="12" t="n">
        <f aca="false">'Balance Sheet'!H7+I12+I14+I15+I16</f>
        <v>997.720696631285</v>
      </c>
      <c r="J17" s="12" t="n">
        <f aca="false">'Balance Sheet'!I7+J12+J14+J15+J16</f>
        <v>1264.19924652026</v>
      </c>
    </row>
    <row r="18" customFormat="false" ht="15" hidden="false" customHeight="false" outlineLevel="0" collapsed="false">
      <c r="B18" s="0" t="s">
        <v>73</v>
      </c>
      <c r="F18" s="12" t="n">
        <f aca="false">MAX(-'Balance Sheet'!E17,Inputs!$C$50-F17)</f>
        <v>-0</v>
      </c>
      <c r="G18" s="12" t="n">
        <f aca="false">MAX(-'Balance Sheet'!F17,Inputs!$C$50-G17)</f>
        <v>-0</v>
      </c>
      <c r="H18" s="12" t="n">
        <f aca="false">MAX(-'Balance Sheet'!G17,Inputs!$C$50-H17)</f>
        <v>-0</v>
      </c>
      <c r="I18" s="12" t="n">
        <f aca="false">MAX(-'Balance Sheet'!H17,Inputs!$C$50-I17)</f>
        <v>-0</v>
      </c>
      <c r="J18" s="12" t="n">
        <f aca="false">MAX(-'Balance Sheet'!I17,Inputs!$C$50-J17)</f>
        <v>-0</v>
      </c>
    </row>
    <row r="19" customFormat="false" ht="15" hidden="false" customHeight="false" outlineLevel="0" collapsed="false">
      <c r="B19" s="3" t="s">
        <v>74</v>
      </c>
      <c r="F19" s="13" t="n">
        <f aca="false">F15+F16+F18</f>
        <v>-300</v>
      </c>
      <c r="G19" s="13" t="n">
        <f aca="false">G15+G16+G18</f>
        <v>-300</v>
      </c>
      <c r="H19" s="13" t="n">
        <f aca="false">H15+H16+H18</f>
        <v>-300</v>
      </c>
      <c r="I19" s="13" t="n">
        <f aca="false">I15+I16+I18</f>
        <v>-300</v>
      </c>
      <c r="J19" s="13" t="n">
        <f aca="false">J15+J16+J18</f>
        <v>-300</v>
      </c>
    </row>
    <row r="20" customFormat="false" ht="15" hidden="false" customHeight="false" outlineLevel="0" collapsed="false">
      <c r="B20" s="0" t="s">
        <v>75</v>
      </c>
      <c r="F20" s="12" t="n">
        <f aca="false">F12+F14+F19</f>
        <v>122.447616438356</v>
      </c>
      <c r="G20" s="12" t="n">
        <f aca="false">G12+G14+G19</f>
        <v>153.793686476713</v>
      </c>
      <c r="H20" s="12" t="n">
        <f aca="false">H12+H14+H19</f>
        <v>191.901476583176</v>
      </c>
      <c r="I20" s="12" t="n">
        <f aca="false">I12+I14+I19</f>
        <v>229.57791713304</v>
      </c>
      <c r="J20" s="12" t="n">
        <f aca="false">J12+J14+J19</f>
        <v>266.47854988898</v>
      </c>
    </row>
    <row r="21" customFormat="false" ht="15" hidden="false" customHeight="false" outlineLevel="0" collapsed="false">
      <c r="B21" s="0" t="s">
        <v>76</v>
      </c>
      <c r="F21" s="15" t="n">
        <f aca="false">'Balance Sheet'!E7</f>
        <v>300</v>
      </c>
      <c r="G21" s="15" t="n">
        <f aca="false">'Balance Sheet'!F7</f>
        <v>422.447616438356</v>
      </c>
      <c r="H21" s="15" t="n">
        <f aca="false">'Balance Sheet'!G7</f>
        <v>576.241302915069</v>
      </c>
      <c r="I21" s="15" t="n">
        <f aca="false">'Balance Sheet'!H7</f>
        <v>768.142779498245</v>
      </c>
      <c r="J21" s="15" t="n">
        <f aca="false">'Balance Sheet'!I7</f>
        <v>997.720696631285</v>
      </c>
    </row>
    <row r="22" customFormat="false" ht="15" hidden="false" customHeight="false" outlineLevel="0" collapsed="false">
      <c r="B22" s="3" t="s">
        <v>77</v>
      </c>
      <c r="F22" s="13" t="n">
        <f aca="false">F21+F20</f>
        <v>422.447616438356</v>
      </c>
      <c r="G22" s="13" t="n">
        <f aca="false">G21+G20</f>
        <v>576.241302915069</v>
      </c>
      <c r="H22" s="13" t="n">
        <f aca="false">H21+H20</f>
        <v>768.142779498245</v>
      </c>
      <c r="I22" s="13" t="n">
        <f aca="false">I21+I20</f>
        <v>997.720696631285</v>
      </c>
      <c r="J22" s="13" t="n">
        <f aca="false">J21+J20</f>
        <v>1264.19924652026</v>
      </c>
    </row>
    <row r="23" customFormat="false" ht="15" hidden="false" customHeight="false" outlineLevel="0" collapsed="false">
      <c r="B23" s="0" t="s">
        <v>78</v>
      </c>
      <c r="F23" s="16" t="n">
        <f aca="false">ROUND(F22-'Balance Sheet'!F7,6)</f>
        <v>0</v>
      </c>
      <c r="G23" s="16" t="n">
        <f aca="false">ROUND(G22-'Balance Sheet'!G7,6)</f>
        <v>0</v>
      </c>
      <c r="H23" s="16" t="n">
        <f aca="false">ROUND(H22-'Balance Sheet'!H7,6)</f>
        <v>0</v>
      </c>
      <c r="I23" s="16" t="n">
        <f aca="false">ROUND(I22-'Balance Sheet'!I7,6)</f>
        <v>0</v>
      </c>
      <c r="J23" s="16" t="n">
        <f aca="false">ROUND(J22-'Balance Sheet'!J7,6)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34.71"/>
    <col collapsed="false" customWidth="true" hidden="false" outlineLevel="0" max="11" min="3" style="0" width="11.71"/>
  </cols>
  <sheetData>
    <row r="2" customFormat="false" ht="17.35" hidden="false" customHeight="false" outlineLevel="0" collapsed="false">
      <c r="B2" s="1" t="s">
        <v>79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tr">
        <f aca="false">"Active scenario: "&amp;Inputs!$D$5</f>
        <v>Active scenario: Base</v>
      </c>
    </row>
    <row r="6" customFormat="false" ht="15" hidden="false" customHeight="false" outlineLevel="0" collapsed="false">
      <c r="B6" s="3"/>
      <c r="C6" s="5" t="s">
        <v>4</v>
      </c>
      <c r="D6" s="5" t="s">
        <v>5</v>
      </c>
      <c r="E6" s="5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11</v>
      </c>
    </row>
    <row r="7" customFormat="false" ht="15" hidden="false" customHeight="false" outlineLevel="0" collapsed="false">
      <c r="B7" s="0" t="s">
        <v>33</v>
      </c>
      <c r="C7" s="15" t="n">
        <f aca="false">'Income Statement'!C7</f>
        <v>4200</v>
      </c>
      <c r="D7" s="15" t="n">
        <f aca="false">'Income Statement'!D7</f>
        <v>4480</v>
      </c>
      <c r="E7" s="15" t="n">
        <f aca="false">'Income Statement'!E7</f>
        <v>4750</v>
      </c>
      <c r="F7" s="15" t="n">
        <f aca="false">'Income Statement'!F7</f>
        <v>4987.5</v>
      </c>
      <c r="G7" s="15" t="n">
        <f aca="false">'Income Statement'!G7</f>
        <v>5236.875</v>
      </c>
      <c r="H7" s="15" t="n">
        <f aca="false">'Income Statement'!H7</f>
        <v>5472.534375</v>
      </c>
      <c r="I7" s="15" t="n">
        <f aca="false">'Income Statement'!I7</f>
        <v>5691.43575</v>
      </c>
      <c r="J7" s="15" t="n">
        <f aca="false">'Income Statement'!J7</f>
        <v>5890.63600125</v>
      </c>
    </row>
    <row r="8" customFormat="false" ht="15" hidden="false" customHeight="false" outlineLevel="0" collapsed="false">
      <c r="B8" s="0" t="s">
        <v>37</v>
      </c>
      <c r="C8" s="15" t="n">
        <f aca="false">'Income Statement'!C11</f>
        <v>735</v>
      </c>
      <c r="D8" s="15" t="n">
        <f aca="false">'Income Statement'!D11</f>
        <v>815.36</v>
      </c>
      <c r="E8" s="15" t="n">
        <f aca="false">'Income Statement'!E11</f>
        <v>883.5</v>
      </c>
      <c r="F8" s="15" t="n">
        <f aca="false">'Income Statement'!F11</f>
        <v>947.625</v>
      </c>
      <c r="G8" s="15" t="n">
        <f aca="false">'Income Statement'!G11</f>
        <v>995.006250000001</v>
      </c>
      <c r="H8" s="15" t="n">
        <f aca="false">'Income Statement'!H11</f>
        <v>1039.78153125</v>
      </c>
      <c r="I8" s="15" t="n">
        <f aca="false">'Income Statement'!I11</f>
        <v>1081.3727925</v>
      </c>
      <c r="J8" s="15" t="n">
        <f aca="false">'Income Statement'!J11</f>
        <v>1119.2208402375</v>
      </c>
    </row>
    <row r="9" customFormat="false" ht="15" hidden="false" customHeight="false" outlineLevel="0" collapsed="false">
      <c r="B9" s="0" t="s">
        <v>45</v>
      </c>
      <c r="C9" s="14" t="n">
        <f aca="false">'Income Statement'!C11/'Income Statement'!C7</f>
        <v>0.175</v>
      </c>
      <c r="D9" s="14" t="n">
        <f aca="false">'Income Statement'!D11/'Income Statement'!D7</f>
        <v>0.182</v>
      </c>
      <c r="E9" s="14" t="n">
        <f aca="false">'Income Statement'!E11/'Income Statement'!E7</f>
        <v>0.186</v>
      </c>
      <c r="F9" s="14" t="n">
        <f aca="false">'Income Statement'!F11/'Income Statement'!F7</f>
        <v>0.19</v>
      </c>
      <c r="G9" s="14" t="n">
        <f aca="false">'Income Statement'!G11/'Income Statement'!G7</f>
        <v>0.19</v>
      </c>
      <c r="H9" s="14" t="n">
        <f aca="false">'Income Statement'!H11/'Income Statement'!H7</f>
        <v>0.19</v>
      </c>
      <c r="I9" s="14" t="n">
        <f aca="false">'Income Statement'!I11/'Income Statement'!I7</f>
        <v>0.19</v>
      </c>
      <c r="J9" s="14" t="n">
        <f aca="false">'Income Statement'!J11/'Income Statement'!J7</f>
        <v>0.19</v>
      </c>
    </row>
    <row r="10" customFormat="false" ht="15" hidden="false" customHeight="false" outlineLevel="0" collapsed="false">
      <c r="B10" s="0" t="s">
        <v>80</v>
      </c>
      <c r="F10" s="12" t="n">
        <f aca="false">'Cash Flow'!F12+'Cash Flow'!F13</f>
        <v>422.447616438356</v>
      </c>
      <c r="G10" s="12" t="n">
        <f aca="false">'Cash Flow'!G12+'Cash Flow'!G13</f>
        <v>453.793686476713</v>
      </c>
      <c r="H10" s="12" t="n">
        <f aca="false">'Cash Flow'!H12+'Cash Flow'!H13</f>
        <v>491.901476583176</v>
      </c>
      <c r="I10" s="12" t="n">
        <f aca="false">'Cash Flow'!I12+'Cash Flow'!I13</f>
        <v>529.57791713304</v>
      </c>
      <c r="J10" s="12" t="n">
        <f aca="false">'Cash Flow'!J12+'Cash Flow'!J13</f>
        <v>566.47854988898</v>
      </c>
    </row>
    <row r="11" customFormat="false" ht="15" hidden="false" customHeight="false" outlineLevel="0" collapsed="false">
      <c r="B11" s="0" t="s">
        <v>81</v>
      </c>
      <c r="C11" s="12" t="n">
        <f aca="false">('Balance Sheet'!C18+'Balance Sheet'!C17-'Balance Sheet'!C7)</f>
        <v>1940</v>
      </c>
      <c r="D11" s="12" t="n">
        <f aca="false">('Balance Sheet'!D18+'Balance Sheet'!D17-'Balance Sheet'!D7)</f>
        <v>1770</v>
      </c>
      <c r="E11" s="12" t="n">
        <f aca="false">('Balance Sheet'!E18+'Balance Sheet'!E17-'Balance Sheet'!E7)</f>
        <v>1600</v>
      </c>
      <c r="F11" s="12" t="n">
        <f aca="false">('Balance Sheet'!F18+'Balance Sheet'!F17-'Balance Sheet'!F7)</f>
        <v>1327.55238356164</v>
      </c>
      <c r="G11" s="12" t="n">
        <f aca="false">('Balance Sheet'!G18+'Balance Sheet'!G17-'Balance Sheet'!G7)</f>
        <v>1023.75869708493</v>
      </c>
      <c r="H11" s="12" t="n">
        <f aca="false">('Balance Sheet'!H18+'Balance Sheet'!H17-'Balance Sheet'!H7)</f>
        <v>681.857220501755</v>
      </c>
      <c r="I11" s="12" t="n">
        <f aca="false">('Balance Sheet'!I18+'Balance Sheet'!I17-'Balance Sheet'!I7)</f>
        <v>302.279303368715</v>
      </c>
      <c r="J11" s="12" t="n">
        <f aca="false">('Balance Sheet'!J18+'Balance Sheet'!J17-'Balance Sheet'!J7)</f>
        <v>-114.199246520264</v>
      </c>
    </row>
    <row r="12" customFormat="false" ht="15" hidden="false" customHeight="false" outlineLevel="0" collapsed="false">
      <c r="B12" s="0" t="s">
        <v>82</v>
      </c>
      <c r="C12" s="17" t="n">
        <f aca="false">('Balance Sheet'!C18+'Balance Sheet'!C17-'Balance Sheet'!C7)/'Income Statement'!C11</f>
        <v>2.63945578231293</v>
      </c>
      <c r="D12" s="17" t="n">
        <f aca="false">('Balance Sheet'!D18+'Balance Sheet'!D17-'Balance Sheet'!D7)/'Income Statement'!D11</f>
        <v>2.17082025117739</v>
      </c>
      <c r="E12" s="17" t="n">
        <f aca="false">('Balance Sheet'!E18+'Balance Sheet'!E17-'Balance Sheet'!E7)/'Income Statement'!E11</f>
        <v>1.81097906055461</v>
      </c>
      <c r="F12" s="17" t="n">
        <f aca="false">('Balance Sheet'!F18+'Balance Sheet'!F17-'Balance Sheet'!F7)/'Income Statement'!F11</f>
        <v>1.40092587633467</v>
      </c>
      <c r="G12" s="17" t="n">
        <f aca="false">('Balance Sheet'!G18+'Balance Sheet'!G17-'Balance Sheet'!G7)/'Income Statement'!G11</f>
        <v>1.0288967502314</v>
      </c>
      <c r="H12" s="17" t="n">
        <f aca="false">('Balance Sheet'!H18+'Balance Sheet'!H17-'Balance Sheet'!H7)/'Income Statement'!H11</f>
        <v>0.655769697776842</v>
      </c>
      <c r="I12" s="17" t="n">
        <f aca="false">('Balance Sheet'!I18+'Balance Sheet'!I17-'Balance Sheet'!I7)/'Income Statement'!I11</f>
        <v>0.279532928389925</v>
      </c>
      <c r="J12" s="17" t="n">
        <f aca="false">('Balance Sheet'!J18+'Balance Sheet'!J17-'Balance Sheet'!J7)/'Income Statement'!J11</f>
        <v>-0.102034596225023</v>
      </c>
    </row>
    <row r="13" customFormat="false" ht="15" hidden="false" customHeight="false" outlineLevel="0" collapsed="false">
      <c r="B13" s="0" t="s">
        <v>83</v>
      </c>
      <c r="C13" s="17" t="n">
        <f aca="false">'Income Statement'!C11/'Income Statement'!C14</f>
        <v>5.83333333333333</v>
      </c>
      <c r="D13" s="17" t="n">
        <f aca="false">'Income Statement'!D11/'Income Statement'!D14</f>
        <v>6.62894308943089</v>
      </c>
      <c r="E13" s="17" t="n">
        <f aca="false">'Income Statement'!E11/'Income Statement'!E14</f>
        <v>7.48728813559322</v>
      </c>
      <c r="F13" s="17" t="n">
        <f aca="false">'Income Statement'!F11/'Income Statement'!F14</f>
        <v>8.3125</v>
      </c>
      <c r="G13" s="17" t="n">
        <f aca="false">'Income Statement'!G11/'Income Statement'!G14</f>
        <v>9.47625000000001</v>
      </c>
      <c r="H13" s="17" t="n">
        <f aca="false">'Income Statement'!H11/'Income Statement'!H14</f>
        <v>10.8310576171875</v>
      </c>
      <c r="I13" s="17" t="n">
        <f aca="false">'Income Statement'!I11/'Income Statement'!I14</f>
        <v>12.4295723275862</v>
      </c>
      <c r="J13" s="17" t="n">
        <f aca="false">'Income Statement'!J11/'Income Statement'!J14</f>
        <v>14.34898513125</v>
      </c>
    </row>
    <row r="14" customFormat="false" ht="15" hidden="false" customHeight="false" outlineLevel="0" collapsed="false">
      <c r="B14" s="0" t="s">
        <v>84</v>
      </c>
      <c r="C14" s="12" t="n">
        <f aca="false">'Balance Sheet'!C17</f>
        <v>0</v>
      </c>
      <c r="D14" s="12" t="n">
        <f aca="false">'Balance Sheet'!D17</f>
        <v>0</v>
      </c>
      <c r="E14" s="12" t="n">
        <f aca="false">'Balance Sheet'!E17</f>
        <v>0</v>
      </c>
      <c r="F14" s="12" t="n">
        <f aca="false">'Balance Sheet'!F17</f>
        <v>0</v>
      </c>
      <c r="G14" s="12" t="n">
        <f aca="false">'Balance Sheet'!G17</f>
        <v>0</v>
      </c>
      <c r="H14" s="12" t="n">
        <f aca="false">'Balance Sheet'!H17</f>
        <v>0</v>
      </c>
      <c r="I14" s="12" t="n">
        <f aca="false">'Balance Sheet'!I17</f>
        <v>0</v>
      </c>
      <c r="J14" s="12" t="n">
        <f aca="false">'Balance Sheet'!J17</f>
        <v>0</v>
      </c>
    </row>
    <row r="15" customFormat="false" ht="15" hidden="false" customHeight="false" outlineLevel="0" collapsed="false">
      <c r="B15" s="3" t="s">
        <v>85</v>
      </c>
      <c r="C15" s="16" t="n">
        <f aca="false">'Balance Sheet'!C24</f>
        <v>0</v>
      </c>
      <c r="D15" s="16" t="n">
        <f aca="false">'Balance Sheet'!D24</f>
        <v>0</v>
      </c>
      <c r="E15" s="16" t="n">
        <f aca="false">'Balance Sheet'!E24</f>
        <v>0</v>
      </c>
      <c r="F15" s="16" t="n">
        <f aca="false">'Balance Sheet'!F24</f>
        <v>0</v>
      </c>
      <c r="G15" s="16" t="n">
        <f aca="false">'Balance Sheet'!G24</f>
        <v>0</v>
      </c>
      <c r="H15" s="16" t="n">
        <f aca="false">'Balance Sheet'!H24</f>
        <v>0</v>
      </c>
      <c r="I15" s="16" t="n">
        <f aca="false">'Balance Sheet'!I24</f>
        <v>0</v>
      </c>
      <c r="J15" s="16" t="n">
        <f aca="false">'Balance Sheet'!J24</f>
        <v>0</v>
      </c>
    </row>
    <row r="16" customFormat="false" ht="15" hidden="false" customHeight="false" outlineLevel="0" collapsed="false">
      <c r="B16" s="3" t="s">
        <v>86</v>
      </c>
      <c r="F16" s="16" t="n">
        <f aca="false">'Cash Flow'!F23</f>
        <v>0</v>
      </c>
      <c r="G16" s="16" t="n">
        <f aca="false">'Cash Flow'!G23</f>
        <v>0</v>
      </c>
      <c r="H16" s="16" t="n">
        <f aca="false">'Cash Flow'!H23</f>
        <v>0</v>
      </c>
      <c r="I16" s="16" t="n">
        <f aca="false">'Cash Flow'!I23</f>
        <v>0</v>
      </c>
      <c r="J16" s="16" t="n">
        <f aca="false">'Cash Flow'!J23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Manager>Alessandro Radice</Manager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2026-09-19T19:56:06Z</dcterms:created>
  <dc:creator>Alessandro Radice</dc:creator>
  <dc:description>Generated by the Three-Statement Financial Model</dc:description>
  <cp:keywords>financial model, three statement, investment banking</cp:keywords>
  <dc:language>en-US</dc:language>
  <cp:lastModifiedBy>Alessandro Radice</cp:lastModifiedBy>
  <dcterms:modified xsi:type="dcterms:W3CDTF">2026-09-19T19:56:06Z</dcterms:modified>
  <cp:revision>0</cp:revision>
  <dc:subject>Linked income statement, balance sheet and cash flow with scenarios</dc:subject>
  <dc:title>Demo Co. (synthetic): three-statement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